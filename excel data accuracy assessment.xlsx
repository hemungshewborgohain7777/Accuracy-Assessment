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CELCRAFT\ArcGisExercise\Accuracy Assessment\"/>
    </mc:Choice>
  </mc:AlternateContent>
  <xr:revisionPtr revIDLastSave="0" documentId="13_ncr:1_{94B474A3-E73C-4183-8C6C-C8DA85BFAE11}" xr6:coauthVersionLast="47" xr6:coauthVersionMax="47" xr10:uidLastSave="{00000000-0000-0000-0000-000000000000}"/>
  <bookViews>
    <workbookView xWindow="-113" yWindow="-113" windowWidth="24267" windowHeight="13749" xr2:uid="{B26B8595-ED07-45C3-BE91-93D60F8B54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5" i="1" l="1"/>
  <c r="H63" i="1"/>
  <c r="G63" i="1"/>
  <c r="F63" i="1"/>
  <c r="E63" i="1"/>
  <c r="D63" i="1"/>
  <c r="D64" i="1" s="1"/>
  <c r="C63" i="1"/>
  <c r="I63" i="1" s="1"/>
  <c r="H62" i="1"/>
  <c r="G62" i="1"/>
  <c r="F62" i="1"/>
  <c r="E62" i="1"/>
  <c r="D62" i="1"/>
  <c r="C62" i="1"/>
  <c r="I62" i="1" s="1"/>
  <c r="H61" i="1"/>
  <c r="G61" i="1"/>
  <c r="F61" i="1"/>
  <c r="E61" i="1"/>
  <c r="D61" i="1"/>
  <c r="C61" i="1"/>
  <c r="I61" i="1" s="1"/>
  <c r="I60" i="1"/>
  <c r="H60" i="1"/>
  <c r="G60" i="1"/>
  <c r="F60" i="1"/>
  <c r="E60" i="1"/>
  <c r="D60" i="1"/>
  <c r="C60" i="1"/>
  <c r="I59" i="1"/>
  <c r="H59" i="1"/>
  <c r="G59" i="1"/>
  <c r="F59" i="1"/>
  <c r="E59" i="1"/>
  <c r="D59" i="1"/>
  <c r="I65" i="1" s="1"/>
  <c r="C59" i="1"/>
  <c r="C64" i="1" s="1"/>
  <c r="H58" i="1"/>
  <c r="H64" i="1" s="1"/>
  <c r="G58" i="1"/>
  <c r="G64" i="1" s="1"/>
  <c r="F58" i="1"/>
  <c r="F64" i="1" s="1"/>
  <c r="E58" i="1"/>
  <c r="E64" i="1" s="1"/>
  <c r="D58" i="1"/>
  <c r="I46" i="1"/>
  <c r="H45" i="1"/>
  <c r="G45" i="1"/>
  <c r="F45" i="1"/>
  <c r="E45" i="1"/>
  <c r="I45" i="1" s="1"/>
  <c r="D45" i="1"/>
  <c r="C45" i="1"/>
  <c r="I44" i="1"/>
  <c r="I43" i="1"/>
  <c r="I42" i="1"/>
  <c r="I41" i="1"/>
  <c r="I40" i="1"/>
  <c r="I39" i="1"/>
  <c r="J49" i="1"/>
  <c r="G34" i="1"/>
  <c r="G33" i="1"/>
  <c r="I49" i="1"/>
  <c r="H31" i="1"/>
  <c r="H24" i="1"/>
  <c r="H30" i="1" s="1"/>
  <c r="H25" i="1"/>
  <c r="H26" i="1"/>
  <c r="H27" i="1"/>
  <c r="H28" i="1"/>
  <c r="H29" i="1"/>
  <c r="G30" i="1"/>
  <c r="F30" i="1"/>
  <c r="E30" i="1"/>
  <c r="D30" i="1"/>
  <c r="C30" i="1"/>
  <c r="B30" i="1"/>
  <c r="G25" i="1"/>
  <c r="G26" i="1"/>
  <c r="G27" i="1"/>
  <c r="G28" i="1"/>
  <c r="G29" i="1"/>
  <c r="F25" i="1"/>
  <c r="F26" i="1"/>
  <c r="F27" i="1"/>
  <c r="F28" i="1"/>
  <c r="F29" i="1"/>
  <c r="E25" i="1"/>
  <c r="E26" i="1"/>
  <c r="E27" i="1"/>
  <c r="E28" i="1"/>
  <c r="E29" i="1"/>
  <c r="D25" i="1"/>
  <c r="D26" i="1"/>
  <c r="D27" i="1"/>
  <c r="D28" i="1"/>
  <c r="D29" i="1"/>
  <c r="G24" i="1"/>
  <c r="F24" i="1"/>
  <c r="E24" i="1"/>
  <c r="D24" i="1"/>
  <c r="C25" i="1"/>
  <c r="C26" i="1"/>
  <c r="C27" i="1"/>
  <c r="C28" i="1"/>
  <c r="C29" i="1"/>
  <c r="C24" i="1"/>
  <c r="B25" i="1"/>
  <c r="B26" i="1"/>
  <c r="B27" i="1"/>
  <c r="B28" i="1"/>
  <c r="B29" i="1"/>
  <c r="G50" i="1"/>
  <c r="G49" i="1"/>
  <c r="F52" i="1"/>
  <c r="F51" i="1"/>
  <c r="F50" i="1"/>
  <c r="I10" i="1"/>
  <c r="I3" i="1"/>
  <c r="F49" i="1" s="1"/>
  <c r="H9" i="1"/>
  <c r="G54" i="1" s="1"/>
  <c r="G9" i="1"/>
  <c r="I9" i="1" s="1"/>
  <c r="F9" i="1"/>
  <c r="G52" i="1" s="1"/>
  <c r="E9" i="1"/>
  <c r="G51" i="1" s="1"/>
  <c r="D9" i="1"/>
  <c r="C9" i="1"/>
  <c r="I8" i="1"/>
  <c r="F54" i="1" s="1"/>
  <c r="I7" i="1"/>
  <c r="F53" i="1" s="1"/>
  <c r="I6" i="1"/>
  <c r="I5" i="1"/>
  <c r="I4" i="1"/>
  <c r="I58" i="1" l="1"/>
  <c r="I64" i="1" s="1"/>
  <c r="C65" i="1" s="1"/>
  <c r="H49" i="1"/>
  <c r="G53" i="1"/>
</calcChain>
</file>

<file path=xl/sharedStrings.xml><?xml version="1.0" encoding="utf-8"?>
<sst xmlns="http://schemas.openxmlformats.org/spreadsheetml/2006/main" count="102" uniqueCount="34">
  <si>
    <t>Features</t>
  </si>
  <si>
    <t>Producer Accuracy (%)</t>
  </si>
  <si>
    <t>User Accuracy (%)</t>
  </si>
  <si>
    <t xml:space="preserve">ProducerAccuracy </t>
  </si>
  <si>
    <t xml:space="preserve">UserAccuracy </t>
  </si>
  <si>
    <t>OverallAccuracy</t>
  </si>
  <si>
    <t>**Formulas**</t>
  </si>
  <si>
    <t>KappaCoefficient</t>
  </si>
  <si>
    <t>KAPPA COEFFICIENT</t>
  </si>
  <si>
    <r>
      <rPr>
        <b/>
        <sz val="11"/>
        <color theme="9"/>
        <rFont val="Calibri"/>
        <family val="2"/>
        <scheme val="minor"/>
      </rPr>
      <t>CorrectPixel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theme="4"/>
        <rFont val="Calibri"/>
        <family val="2"/>
        <scheme val="minor"/>
      </rPr>
      <t>RowTotal</t>
    </r>
    <r>
      <rPr>
        <b/>
        <sz val="11"/>
        <color theme="1"/>
        <rFont val="Calibri"/>
        <family val="2"/>
        <scheme val="minor"/>
      </rPr>
      <t>*100</t>
    </r>
  </si>
  <si>
    <r>
      <rPr>
        <b/>
        <sz val="11"/>
        <color theme="9"/>
        <rFont val="Calibri"/>
        <family val="2"/>
        <scheme val="minor"/>
      </rPr>
      <t>CorrectPixel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rgb="FFFF0000"/>
        <rFont val="Calibri"/>
        <family val="2"/>
        <scheme val="minor"/>
      </rPr>
      <t>ColumnTota</t>
    </r>
    <r>
      <rPr>
        <b/>
        <sz val="11"/>
        <color theme="1"/>
        <rFont val="Calibri"/>
        <family val="2"/>
        <scheme val="minor"/>
      </rPr>
      <t>l*100</t>
    </r>
  </si>
  <si>
    <r>
      <rPr>
        <b/>
        <sz val="11"/>
        <color rgb="FFFFFF00"/>
        <rFont val="Calibri"/>
        <family val="2"/>
        <scheme val="minor"/>
      </rPr>
      <t>DiagonalTotal</t>
    </r>
    <r>
      <rPr>
        <b/>
        <sz val="11"/>
        <color theme="1"/>
        <rFont val="Calibri"/>
        <family val="2"/>
        <scheme val="minor"/>
      </rPr>
      <t>/</t>
    </r>
    <r>
      <rPr>
        <b/>
        <sz val="11"/>
        <color rgb="FF7030A0"/>
        <rFont val="Calibri"/>
        <family val="2"/>
        <scheme val="minor"/>
      </rPr>
      <t>RowTotal</t>
    </r>
  </si>
  <si>
    <t>`</t>
  </si>
  <si>
    <t>Agriculture</t>
  </si>
  <si>
    <t xml:space="preserve">Dense Forest </t>
  </si>
  <si>
    <t>Grasslands</t>
  </si>
  <si>
    <t>Sandbars</t>
  </si>
  <si>
    <t>Settlement</t>
  </si>
  <si>
    <t>Waterbody</t>
  </si>
  <si>
    <t>Dense Forest</t>
  </si>
  <si>
    <t>DiagonalTotal</t>
  </si>
  <si>
    <t>Row Total</t>
  </si>
  <si>
    <t>Column Total</t>
  </si>
  <si>
    <t>RowTotal</t>
  </si>
  <si>
    <t>ColumnTotal</t>
  </si>
  <si>
    <t>ExpectedAccuracy</t>
  </si>
  <si>
    <t>TotalDiagonal/TotalRows</t>
  </si>
  <si>
    <t>obs=overallAccuracy</t>
  </si>
  <si>
    <t>(Obs-Exp)/(1-Exp)</t>
  </si>
  <si>
    <t>obs</t>
  </si>
  <si>
    <t>exp</t>
  </si>
  <si>
    <r>
      <rPr>
        <b/>
        <sz val="14"/>
        <color theme="9"/>
        <rFont val="Calibri"/>
        <family val="2"/>
        <scheme val="minor"/>
      </rPr>
      <t>CorrectPixel</t>
    </r>
    <r>
      <rPr>
        <b/>
        <sz val="14"/>
        <color theme="1"/>
        <rFont val="Calibri"/>
        <family val="2"/>
        <scheme val="minor"/>
      </rPr>
      <t>/</t>
    </r>
    <r>
      <rPr>
        <b/>
        <sz val="14"/>
        <color theme="4"/>
        <rFont val="Calibri"/>
        <family val="2"/>
        <scheme val="minor"/>
      </rPr>
      <t>RowTotal</t>
    </r>
    <r>
      <rPr>
        <b/>
        <sz val="14"/>
        <color theme="1"/>
        <rFont val="Calibri"/>
        <family val="2"/>
        <scheme val="minor"/>
      </rPr>
      <t>*100</t>
    </r>
  </si>
  <si>
    <r>
      <rPr>
        <b/>
        <sz val="14"/>
        <color theme="9"/>
        <rFont val="Calibri"/>
        <family val="2"/>
        <scheme val="minor"/>
      </rPr>
      <t>CorrectPixel</t>
    </r>
    <r>
      <rPr>
        <b/>
        <sz val="14"/>
        <color theme="1"/>
        <rFont val="Calibri"/>
        <family val="2"/>
        <scheme val="minor"/>
      </rPr>
      <t>/</t>
    </r>
    <r>
      <rPr>
        <b/>
        <sz val="14"/>
        <color rgb="FFFF0000"/>
        <rFont val="Calibri"/>
        <family val="2"/>
        <scheme val="minor"/>
      </rPr>
      <t>ColumnTota</t>
    </r>
    <r>
      <rPr>
        <b/>
        <sz val="14"/>
        <color theme="1"/>
        <rFont val="Calibri"/>
        <family val="2"/>
        <scheme val="minor"/>
      </rPr>
      <t>l*100</t>
    </r>
  </si>
  <si>
    <r>
      <rPr>
        <b/>
        <sz val="14"/>
        <color rgb="FFFFFF00"/>
        <rFont val="Calibri"/>
        <family val="2"/>
        <scheme val="minor"/>
      </rPr>
      <t>DiagonalTotal</t>
    </r>
    <r>
      <rPr>
        <b/>
        <sz val="14"/>
        <color theme="1"/>
        <rFont val="Calibri"/>
        <family val="2"/>
        <scheme val="minor"/>
      </rPr>
      <t>/</t>
    </r>
    <r>
      <rPr>
        <b/>
        <sz val="14"/>
        <color rgb="FF7030A0"/>
        <rFont val="Calibri"/>
        <family val="2"/>
        <scheme val="minor"/>
      </rPr>
      <t>RowTotal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</si>
</sst>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4"/>
      <color rgb="FF7030A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/>
    <xf numFmtId="0" fontId="1" fillId="6" borderId="1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0" borderId="1" xfId="0" applyFont="1" applyBorder="1"/>
    <xf numFmtId="0" fontId="0" fillId="0" borderId="11" xfId="0" applyBorder="1"/>
    <xf numFmtId="0" fontId="2" fillId="4" borderId="2" xfId="0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0" fontId="4" fillId="0" borderId="6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2" fillId="5" borderId="15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2" fontId="3" fillId="0" borderId="20" xfId="0" applyNumberFormat="1" applyFont="1" applyBorder="1" applyAlignment="1">
      <alignment horizontal="center"/>
    </xf>
    <xf numFmtId="0" fontId="4" fillId="0" borderId="6" xfId="0" applyFont="1" applyBorder="1"/>
    <xf numFmtId="0" fontId="3" fillId="0" borderId="7" xfId="0" applyFont="1" applyBorder="1"/>
    <xf numFmtId="0" fontId="3" fillId="0" borderId="20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0" fontId="11" fillId="0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right"/>
    </xf>
    <xf numFmtId="0" fontId="11" fillId="0" borderId="1" xfId="0" applyFont="1" applyBorder="1"/>
    <xf numFmtId="0" fontId="1" fillId="6" borderId="18" xfId="0" applyFont="1" applyFill="1" applyBorder="1" applyAlignment="1">
      <alignment horizontal="center"/>
    </xf>
    <xf numFmtId="0" fontId="5" fillId="6" borderId="23" xfId="0" applyFont="1" applyFill="1" applyBorder="1" applyAlignment="1">
      <alignment horizontal="center"/>
    </xf>
    <xf numFmtId="0" fontId="10" fillId="6" borderId="15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/>
    </xf>
    <xf numFmtId="0" fontId="22" fillId="0" borderId="0" xfId="0" applyFont="1"/>
    <xf numFmtId="0" fontId="11" fillId="6" borderId="1" xfId="0" applyFont="1" applyFill="1" applyBorder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11" fillId="7" borderId="12" xfId="0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11" fillId="6" borderId="22" xfId="0" applyFont="1" applyFill="1" applyBorder="1" applyAlignment="1">
      <alignment horizontal="center"/>
    </xf>
    <xf numFmtId="2" fontId="11" fillId="0" borderId="18" xfId="0" applyNumberFormat="1" applyFont="1" applyBorder="1" applyAlignment="1">
      <alignment horizontal="center"/>
    </xf>
    <xf numFmtId="0" fontId="11" fillId="0" borderId="15" xfId="0" applyFont="1" applyFill="1" applyBorder="1" applyAlignment="1">
      <alignment horizontal="center"/>
    </xf>
    <xf numFmtId="0" fontId="0" fillId="0" borderId="15" xfId="0" applyBorder="1"/>
    <xf numFmtId="0" fontId="11" fillId="0" borderId="19" xfId="0" applyFont="1" applyBorder="1" applyAlignment="1">
      <alignment horizontal="center"/>
    </xf>
    <xf numFmtId="0" fontId="11" fillId="0" borderId="26" xfId="0" applyFont="1" applyBorder="1"/>
    <xf numFmtId="0" fontId="0" fillId="0" borderId="26" xfId="0" applyBorder="1"/>
    <xf numFmtId="0" fontId="11" fillId="6" borderId="14" xfId="0" applyFont="1" applyFill="1" applyBorder="1"/>
    <xf numFmtId="2" fontId="11" fillId="0" borderId="8" xfId="0" applyNumberFormat="1" applyFont="1" applyBorder="1" applyAlignment="1">
      <alignment horizontal="center"/>
    </xf>
    <xf numFmtId="0" fontId="11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E8B5-F280-48A9-A06F-7D5D88E9316E}">
  <dimension ref="A1:J65"/>
  <sheetViews>
    <sheetView tabSelected="1" topLeftCell="A34" zoomScale="85" zoomScaleNormal="85" workbookViewId="0">
      <selection activeCell="I35" sqref="I35:I36"/>
    </sheetView>
  </sheetViews>
  <sheetFormatPr defaultRowHeight="15.05" x14ac:dyDescent="0.3"/>
  <cols>
    <col min="1" max="1" width="21.88671875" customWidth="1"/>
    <col min="2" max="2" width="27.88671875" customWidth="1"/>
    <col min="3" max="3" width="22.33203125" customWidth="1"/>
    <col min="4" max="4" width="28.21875" customWidth="1"/>
    <col min="5" max="5" width="20.33203125" customWidth="1"/>
    <col min="6" max="6" width="26.77734375" customWidth="1"/>
    <col min="7" max="7" width="26.21875" customWidth="1"/>
    <col min="8" max="8" width="23.109375" customWidth="1"/>
    <col min="9" max="9" width="21.5546875" customWidth="1"/>
    <col min="10" max="10" width="22" customWidth="1"/>
    <col min="11" max="11" width="26" customWidth="1"/>
  </cols>
  <sheetData>
    <row r="1" spans="1:10" x14ac:dyDescent="0.3">
      <c r="I1" s="1"/>
    </row>
    <row r="2" spans="1:10" ht="18.2" x14ac:dyDescent="0.35">
      <c r="B2" s="65" t="s">
        <v>0</v>
      </c>
      <c r="C2" s="65" t="s">
        <v>13</v>
      </c>
      <c r="D2" s="65" t="s">
        <v>14</v>
      </c>
      <c r="E2" s="65" t="s">
        <v>15</v>
      </c>
      <c r="F2" s="65" t="s">
        <v>16</v>
      </c>
      <c r="G2" s="65" t="s">
        <v>17</v>
      </c>
      <c r="H2" s="65" t="s">
        <v>18</v>
      </c>
      <c r="I2" s="66" t="s">
        <v>21</v>
      </c>
    </row>
    <row r="3" spans="1:10" ht="18.2" x14ac:dyDescent="0.35">
      <c r="B3" s="65" t="s">
        <v>13</v>
      </c>
      <c r="C3" s="67">
        <v>50</v>
      </c>
      <c r="D3" s="60">
        <v>6</v>
      </c>
      <c r="E3" s="60">
        <v>1</v>
      </c>
      <c r="F3" s="60">
        <v>0</v>
      </c>
      <c r="G3" s="60">
        <v>3</v>
      </c>
      <c r="H3" s="60">
        <v>0</v>
      </c>
      <c r="I3" s="68">
        <f t="shared" ref="I3:I9" si="0">SUM(C3:H3)</f>
        <v>60</v>
      </c>
    </row>
    <row r="4" spans="1:10" ht="18.2" x14ac:dyDescent="0.35">
      <c r="B4" s="65" t="s">
        <v>19</v>
      </c>
      <c r="C4" s="60">
        <v>0</v>
      </c>
      <c r="D4" s="67">
        <v>59</v>
      </c>
      <c r="E4" s="60">
        <v>1</v>
      </c>
      <c r="F4" s="60">
        <v>0</v>
      </c>
      <c r="G4" s="60">
        <v>0</v>
      </c>
      <c r="H4" s="60">
        <v>0</v>
      </c>
      <c r="I4" s="68">
        <f t="shared" si="0"/>
        <v>60</v>
      </c>
    </row>
    <row r="5" spans="1:10" ht="18.2" x14ac:dyDescent="0.35">
      <c r="B5" s="65" t="s">
        <v>15</v>
      </c>
      <c r="C5" s="60">
        <v>2</v>
      </c>
      <c r="D5" s="60">
        <v>26</v>
      </c>
      <c r="E5" s="67">
        <v>32</v>
      </c>
      <c r="F5" s="60">
        <v>0</v>
      </c>
      <c r="G5" s="60">
        <v>0</v>
      </c>
      <c r="H5" s="60">
        <v>0</v>
      </c>
      <c r="I5" s="68">
        <f t="shared" si="0"/>
        <v>60</v>
      </c>
    </row>
    <row r="6" spans="1:10" ht="18.2" x14ac:dyDescent="0.35">
      <c r="B6" s="65" t="s">
        <v>16</v>
      </c>
      <c r="C6" s="60">
        <v>1</v>
      </c>
      <c r="D6" s="60">
        <v>0</v>
      </c>
      <c r="E6" s="60">
        <v>0</v>
      </c>
      <c r="F6" s="67">
        <v>55</v>
      </c>
      <c r="G6" s="60">
        <v>4</v>
      </c>
      <c r="H6" s="60">
        <v>0</v>
      </c>
      <c r="I6" s="68">
        <f t="shared" si="0"/>
        <v>60</v>
      </c>
    </row>
    <row r="7" spans="1:10" ht="18.2" x14ac:dyDescent="0.35">
      <c r="B7" s="65" t="s">
        <v>17</v>
      </c>
      <c r="C7" s="60">
        <v>21</v>
      </c>
      <c r="D7" s="60">
        <v>0</v>
      </c>
      <c r="E7" s="60">
        <v>1</v>
      </c>
      <c r="F7" s="60">
        <v>6</v>
      </c>
      <c r="G7" s="67">
        <v>32</v>
      </c>
      <c r="H7" s="60">
        <v>0</v>
      </c>
      <c r="I7" s="68">
        <f t="shared" si="0"/>
        <v>60</v>
      </c>
    </row>
    <row r="8" spans="1:10" ht="18.2" x14ac:dyDescent="0.35">
      <c r="B8" s="65" t="s">
        <v>18</v>
      </c>
      <c r="C8" s="60">
        <v>0</v>
      </c>
      <c r="D8" s="60">
        <v>1</v>
      </c>
      <c r="E8" s="60">
        <v>0</v>
      </c>
      <c r="F8" s="60">
        <v>0</v>
      </c>
      <c r="G8" s="60">
        <v>2</v>
      </c>
      <c r="H8" s="67">
        <v>57</v>
      </c>
      <c r="I8" s="68">
        <f t="shared" si="0"/>
        <v>60</v>
      </c>
    </row>
    <row r="9" spans="1:10" ht="18.2" x14ac:dyDescent="0.35">
      <c r="B9" s="69" t="s">
        <v>22</v>
      </c>
      <c r="C9" s="70">
        <f t="shared" ref="C9:H9" si="1">SUM(C3:C8)</f>
        <v>74</v>
      </c>
      <c r="D9" s="70">
        <f t="shared" si="1"/>
        <v>92</v>
      </c>
      <c r="E9" s="70">
        <f t="shared" si="1"/>
        <v>35</v>
      </c>
      <c r="F9" s="70">
        <f t="shared" si="1"/>
        <v>61</v>
      </c>
      <c r="G9" s="70">
        <f t="shared" si="1"/>
        <v>41</v>
      </c>
      <c r="H9" s="70">
        <f t="shared" si="1"/>
        <v>57</v>
      </c>
      <c r="I9" s="71">
        <f t="shared" si="0"/>
        <v>360</v>
      </c>
    </row>
    <row r="10" spans="1:10" ht="18.2" x14ac:dyDescent="0.35">
      <c r="A10" s="1"/>
      <c r="B10" s="60"/>
      <c r="C10" s="60"/>
      <c r="D10" s="60"/>
      <c r="E10" s="60"/>
      <c r="F10" s="60"/>
      <c r="G10" s="60"/>
      <c r="H10" s="72" t="s">
        <v>20</v>
      </c>
      <c r="I10" s="73">
        <f>C3+D4+E5+F6+G7+H8</f>
        <v>285</v>
      </c>
    </row>
    <row r="11" spans="1:10" ht="15.65" thickBot="1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10" ht="18.2" x14ac:dyDescent="0.35">
      <c r="C12" s="15" t="s">
        <v>6</v>
      </c>
      <c r="D12" s="16"/>
    </row>
    <row r="13" spans="1:10" x14ac:dyDescent="0.3">
      <c r="C13" s="18" t="s">
        <v>3</v>
      </c>
      <c r="D13" s="19" t="s">
        <v>9</v>
      </c>
      <c r="J13" t="s">
        <v>12</v>
      </c>
    </row>
    <row r="14" spans="1:10" x14ac:dyDescent="0.3">
      <c r="C14" s="18" t="s">
        <v>4</v>
      </c>
      <c r="D14" s="19" t="s">
        <v>10</v>
      </c>
    </row>
    <row r="15" spans="1:10" x14ac:dyDescent="0.3">
      <c r="C15" s="18" t="s">
        <v>5</v>
      </c>
      <c r="D15" s="19" t="s">
        <v>11</v>
      </c>
    </row>
    <row r="16" spans="1:10" x14ac:dyDescent="0.3">
      <c r="C16" s="20" t="s">
        <v>25</v>
      </c>
      <c r="D16" s="21" t="s">
        <v>26</v>
      </c>
    </row>
    <row r="17" spans="1:8" x14ac:dyDescent="0.3">
      <c r="C17" s="12" t="s">
        <v>7</v>
      </c>
      <c r="D17" s="21" t="s">
        <v>28</v>
      </c>
      <c r="F17" t="s">
        <v>12</v>
      </c>
    </row>
    <row r="22" spans="1:8" x14ac:dyDescent="0.3">
      <c r="A22" s="14" t="s">
        <v>8</v>
      </c>
      <c r="B22" s="14"/>
      <c r="C22" s="14"/>
      <c r="D22" s="14"/>
      <c r="E22" s="14"/>
      <c r="F22" s="14"/>
      <c r="G22" s="14"/>
      <c r="H22" s="14"/>
    </row>
    <row r="23" spans="1:8" ht="18.2" x14ac:dyDescent="0.35">
      <c r="A23" s="57" t="s">
        <v>0</v>
      </c>
      <c r="B23" s="57" t="s">
        <v>13</v>
      </c>
      <c r="C23" s="57" t="s">
        <v>14</v>
      </c>
      <c r="D23" s="57" t="s">
        <v>15</v>
      </c>
      <c r="E23" s="57" t="s">
        <v>16</v>
      </c>
      <c r="F23" s="57" t="s">
        <v>17</v>
      </c>
      <c r="G23" s="57" t="s">
        <v>18</v>
      </c>
      <c r="H23" s="58" t="s">
        <v>23</v>
      </c>
    </row>
    <row r="24" spans="1:8" ht="18.2" x14ac:dyDescent="0.35">
      <c r="A24" s="57" t="s">
        <v>13</v>
      </c>
      <c r="B24" s="59">
        <v>4440</v>
      </c>
      <c r="C24" s="60">
        <f>92*60</f>
        <v>5520</v>
      </c>
      <c r="D24" s="60">
        <f>35*60</f>
        <v>2100</v>
      </c>
      <c r="E24" s="60">
        <f>61*60</f>
        <v>3660</v>
      </c>
      <c r="F24" s="60">
        <f>41*60</f>
        <v>2460</v>
      </c>
      <c r="G24" s="60">
        <f>57*60</f>
        <v>3420</v>
      </c>
      <c r="H24" s="61">
        <f>SUM(B24:G24)</f>
        <v>21600</v>
      </c>
    </row>
    <row r="25" spans="1:8" ht="18.2" x14ac:dyDescent="0.35">
      <c r="A25" s="57" t="s">
        <v>19</v>
      </c>
      <c r="B25" s="60">
        <f t="shared" ref="B25:B29" si="2">74*60</f>
        <v>4440</v>
      </c>
      <c r="C25" s="59">
        <f t="shared" ref="C25:C29" si="3">92*60</f>
        <v>5520</v>
      </c>
      <c r="D25" s="60">
        <f t="shared" ref="D25:D29" si="4">35*60</f>
        <v>2100</v>
      </c>
      <c r="E25" s="60">
        <f t="shared" ref="E25:E29" si="5">61*60</f>
        <v>3660</v>
      </c>
      <c r="F25" s="60">
        <f t="shared" ref="F25:F29" si="6">41*60</f>
        <v>2460</v>
      </c>
      <c r="G25" s="60">
        <f t="shared" ref="G25:G29" si="7">57*60</f>
        <v>3420</v>
      </c>
      <c r="H25" s="61">
        <f>SUM(B25:G25)</f>
        <v>21600</v>
      </c>
    </row>
    <row r="26" spans="1:8" ht="18.2" x14ac:dyDescent="0.35">
      <c r="A26" s="57" t="s">
        <v>15</v>
      </c>
      <c r="B26" s="60">
        <f t="shared" si="2"/>
        <v>4440</v>
      </c>
      <c r="C26" s="60">
        <f t="shared" si="3"/>
        <v>5520</v>
      </c>
      <c r="D26" s="59">
        <f t="shared" si="4"/>
        <v>2100</v>
      </c>
      <c r="E26" s="60">
        <f t="shared" si="5"/>
        <v>3660</v>
      </c>
      <c r="F26" s="60">
        <f t="shared" si="6"/>
        <v>2460</v>
      </c>
      <c r="G26" s="60">
        <f t="shared" si="7"/>
        <v>3420</v>
      </c>
      <c r="H26" s="61">
        <f>SUM(B26:G26)</f>
        <v>21600</v>
      </c>
    </row>
    <row r="27" spans="1:8" ht="18.2" x14ac:dyDescent="0.35">
      <c r="A27" s="57" t="s">
        <v>16</v>
      </c>
      <c r="B27" s="60">
        <f t="shared" si="2"/>
        <v>4440</v>
      </c>
      <c r="C27" s="60">
        <f t="shared" si="3"/>
        <v>5520</v>
      </c>
      <c r="D27" s="60">
        <f t="shared" si="4"/>
        <v>2100</v>
      </c>
      <c r="E27" s="59">
        <f t="shared" si="5"/>
        <v>3660</v>
      </c>
      <c r="F27" s="60">
        <f t="shared" si="6"/>
        <v>2460</v>
      </c>
      <c r="G27" s="60">
        <f t="shared" si="7"/>
        <v>3420</v>
      </c>
      <c r="H27" s="61">
        <f>SUM(B27:G27)</f>
        <v>21600</v>
      </c>
    </row>
    <row r="28" spans="1:8" ht="18.2" x14ac:dyDescent="0.35">
      <c r="A28" s="57" t="s">
        <v>17</v>
      </c>
      <c r="B28" s="60">
        <f t="shared" si="2"/>
        <v>4440</v>
      </c>
      <c r="C28" s="60">
        <f t="shared" si="3"/>
        <v>5520</v>
      </c>
      <c r="D28" s="60">
        <f t="shared" si="4"/>
        <v>2100</v>
      </c>
      <c r="E28" s="60">
        <f t="shared" si="5"/>
        <v>3660</v>
      </c>
      <c r="F28" s="59">
        <f t="shared" si="6"/>
        <v>2460</v>
      </c>
      <c r="G28" s="60">
        <f t="shared" si="7"/>
        <v>3420</v>
      </c>
      <c r="H28" s="61">
        <f>SUM(B28:G28)</f>
        <v>21600</v>
      </c>
    </row>
    <row r="29" spans="1:8" ht="18.2" x14ac:dyDescent="0.35">
      <c r="A29" s="57" t="s">
        <v>18</v>
      </c>
      <c r="B29" s="60">
        <f t="shared" si="2"/>
        <v>4440</v>
      </c>
      <c r="C29" s="60">
        <f t="shared" si="3"/>
        <v>5520</v>
      </c>
      <c r="D29" s="60">
        <f t="shared" si="4"/>
        <v>2100</v>
      </c>
      <c r="E29" s="60">
        <f t="shared" si="5"/>
        <v>3660</v>
      </c>
      <c r="F29" s="60">
        <f t="shared" si="6"/>
        <v>2460</v>
      </c>
      <c r="G29" s="59">
        <f t="shared" si="7"/>
        <v>3420</v>
      </c>
      <c r="H29" s="61">
        <f>SUM(B29:G29)</f>
        <v>21600</v>
      </c>
    </row>
    <row r="30" spans="1:8" ht="18.2" x14ac:dyDescent="0.35">
      <c r="A30" s="62" t="s">
        <v>24</v>
      </c>
      <c r="B30" s="62">
        <f>SUM(B24:B29)</f>
        <v>26640</v>
      </c>
      <c r="C30" s="62">
        <f>SUM(C24:C29)</f>
        <v>33120</v>
      </c>
      <c r="D30" s="62">
        <f>SUM(D24:D29)</f>
        <v>12600</v>
      </c>
      <c r="E30" s="62">
        <f>SUM(E24:E29)</f>
        <v>21960</v>
      </c>
      <c r="F30" s="62">
        <f>SUM(F24:F29)</f>
        <v>14760</v>
      </c>
      <c r="G30" s="62">
        <f>SUM(G24:G29)</f>
        <v>20520</v>
      </c>
      <c r="H30" s="63">
        <f>SUM(H24:H29)</f>
        <v>129600</v>
      </c>
    </row>
    <row r="31" spans="1:8" ht="18.2" x14ac:dyDescent="0.35">
      <c r="C31" s="64"/>
      <c r="F31" s="64"/>
      <c r="G31" s="57" t="s">
        <v>20</v>
      </c>
      <c r="H31" s="74">
        <f>B24+C25+D26+E27+F28+G29</f>
        <v>21600</v>
      </c>
    </row>
    <row r="33" spans="2:10" x14ac:dyDescent="0.3">
      <c r="D33" t="s">
        <v>27</v>
      </c>
      <c r="F33" t="s">
        <v>29</v>
      </c>
      <c r="G33">
        <f>I10/I9</f>
        <v>0.79166666666666663</v>
      </c>
    </row>
    <row r="34" spans="2:10" x14ac:dyDescent="0.3">
      <c r="D34" t="s">
        <v>7</v>
      </c>
      <c r="E34" t="s">
        <v>28</v>
      </c>
      <c r="F34" t="s">
        <v>30</v>
      </c>
      <c r="G34">
        <f>H31/H30</f>
        <v>0.16666666666666666</v>
      </c>
    </row>
    <row r="37" spans="2:10" ht="15.65" thickBot="1" x14ac:dyDescent="0.35"/>
    <row r="38" spans="2:10" x14ac:dyDescent="0.3">
      <c r="B38" s="6" t="s">
        <v>0</v>
      </c>
      <c r="C38" s="7" t="s">
        <v>13</v>
      </c>
      <c r="D38" s="8" t="s">
        <v>14</v>
      </c>
      <c r="E38" s="8" t="s">
        <v>15</v>
      </c>
      <c r="F38" s="8" t="s">
        <v>16</v>
      </c>
      <c r="G38" s="8" t="s">
        <v>17</v>
      </c>
      <c r="H38" s="8" t="s">
        <v>18</v>
      </c>
      <c r="I38" s="9" t="s">
        <v>21</v>
      </c>
    </row>
    <row r="39" spans="2:10" ht="15.65" x14ac:dyDescent="0.3">
      <c r="B39" s="10" t="s">
        <v>13</v>
      </c>
      <c r="C39" s="23">
        <v>50</v>
      </c>
      <c r="D39" s="24">
        <v>6</v>
      </c>
      <c r="E39" s="24">
        <v>1</v>
      </c>
      <c r="F39" s="24">
        <v>0</v>
      </c>
      <c r="G39" s="24">
        <v>3</v>
      </c>
      <c r="H39" s="24">
        <v>0</v>
      </c>
      <c r="I39" s="25">
        <f t="shared" ref="I39:I45" si="8">SUM(C39:H39)</f>
        <v>60</v>
      </c>
    </row>
    <row r="40" spans="2:10" ht="15.65" x14ac:dyDescent="0.3">
      <c r="B40" s="11" t="s">
        <v>19</v>
      </c>
      <c r="C40" s="24">
        <v>0</v>
      </c>
      <c r="D40" s="23">
        <v>59</v>
      </c>
      <c r="E40" s="24">
        <v>1</v>
      </c>
      <c r="F40" s="24">
        <v>0</v>
      </c>
      <c r="G40" s="24">
        <v>0</v>
      </c>
      <c r="H40" s="24">
        <v>0</v>
      </c>
      <c r="I40" s="25">
        <f t="shared" si="8"/>
        <v>60</v>
      </c>
    </row>
    <row r="41" spans="2:10" ht="15.65" x14ac:dyDescent="0.3">
      <c r="B41" s="11" t="s">
        <v>15</v>
      </c>
      <c r="C41" s="24">
        <v>2</v>
      </c>
      <c r="D41" s="24">
        <v>26</v>
      </c>
      <c r="E41" s="23">
        <v>32</v>
      </c>
      <c r="F41" s="24">
        <v>0</v>
      </c>
      <c r="G41" s="24">
        <v>0</v>
      </c>
      <c r="H41" s="24">
        <v>0</v>
      </c>
      <c r="I41" s="25">
        <f t="shared" si="8"/>
        <v>60</v>
      </c>
    </row>
    <row r="42" spans="2:10" ht="15.65" x14ac:dyDescent="0.3">
      <c r="B42" s="11" t="s">
        <v>16</v>
      </c>
      <c r="C42" s="24">
        <v>1</v>
      </c>
      <c r="D42" s="24">
        <v>0</v>
      </c>
      <c r="E42" s="24">
        <v>0</v>
      </c>
      <c r="F42" s="23">
        <v>55</v>
      </c>
      <c r="G42" s="24">
        <v>4</v>
      </c>
      <c r="H42" s="24">
        <v>0</v>
      </c>
      <c r="I42" s="25">
        <f t="shared" si="8"/>
        <v>60</v>
      </c>
    </row>
    <row r="43" spans="2:10" ht="15.65" x14ac:dyDescent="0.3">
      <c r="B43" s="11" t="s">
        <v>17</v>
      </c>
      <c r="C43" s="24">
        <v>21</v>
      </c>
      <c r="D43" s="24">
        <v>0</v>
      </c>
      <c r="E43" s="24">
        <v>1</v>
      </c>
      <c r="F43" s="24">
        <v>6</v>
      </c>
      <c r="G43" s="23">
        <v>32</v>
      </c>
      <c r="H43" s="24">
        <v>0</v>
      </c>
      <c r="I43" s="25">
        <f t="shared" si="8"/>
        <v>60</v>
      </c>
    </row>
    <row r="44" spans="2:10" ht="16.3" thickBot="1" x14ac:dyDescent="0.35">
      <c r="B44" s="11" t="s">
        <v>18</v>
      </c>
      <c r="C44" s="26">
        <v>0</v>
      </c>
      <c r="D44" s="26">
        <v>1</v>
      </c>
      <c r="E44" s="26">
        <v>0</v>
      </c>
      <c r="F44" s="26">
        <v>0</v>
      </c>
      <c r="G44" s="26">
        <v>2</v>
      </c>
      <c r="H44" s="23">
        <v>57</v>
      </c>
      <c r="I44" s="27">
        <f t="shared" si="8"/>
        <v>60</v>
      </c>
    </row>
    <row r="45" spans="2:10" ht="16.3" thickBot="1" x14ac:dyDescent="0.35">
      <c r="B45" s="5" t="s">
        <v>22</v>
      </c>
      <c r="C45" s="28">
        <f t="shared" ref="C45" si="9">SUM(C39:C44)</f>
        <v>74</v>
      </c>
      <c r="D45" s="28">
        <f t="shared" ref="D45" si="10">SUM(D39:D44)</f>
        <v>92</v>
      </c>
      <c r="E45" s="28">
        <f t="shared" ref="E45" si="11">SUM(E39:E44)</f>
        <v>35</v>
      </c>
      <c r="F45" s="28">
        <f t="shared" ref="F45" si="12">SUM(F39:F44)</f>
        <v>61</v>
      </c>
      <c r="G45" s="28">
        <f t="shared" ref="G45" si="13">SUM(G39:G44)</f>
        <v>41</v>
      </c>
      <c r="H45" s="28">
        <f t="shared" ref="H45" si="14">SUM(H39:H44)</f>
        <v>57</v>
      </c>
      <c r="I45" s="29">
        <f t="shared" si="8"/>
        <v>360</v>
      </c>
    </row>
    <row r="46" spans="2:10" ht="16.3" thickBot="1" x14ac:dyDescent="0.35">
      <c r="B46" s="2"/>
      <c r="C46" s="22"/>
      <c r="D46" s="22"/>
      <c r="E46" s="22"/>
      <c r="F46" s="22"/>
      <c r="G46" s="22"/>
      <c r="H46" s="47" t="s">
        <v>20</v>
      </c>
      <c r="I46" s="30">
        <f>C39+D40+E41+F42+G43+H44</f>
        <v>285</v>
      </c>
    </row>
    <row r="47" spans="2:10" ht="15.65" thickBot="1" x14ac:dyDescent="0.35"/>
    <row r="48" spans="2:10" ht="18.2" x14ac:dyDescent="0.35">
      <c r="B48" s="31" t="s">
        <v>6</v>
      </c>
      <c r="C48" s="32"/>
      <c r="F48" s="76" t="s">
        <v>1</v>
      </c>
      <c r="G48" s="77" t="s">
        <v>2</v>
      </c>
      <c r="H48" s="77" t="s">
        <v>5</v>
      </c>
      <c r="I48" s="77" t="s">
        <v>25</v>
      </c>
      <c r="J48" s="84" t="s">
        <v>7</v>
      </c>
    </row>
    <row r="49" spans="2:10" ht="18.2" x14ac:dyDescent="0.35">
      <c r="B49" s="49" t="s">
        <v>3</v>
      </c>
      <c r="C49" s="50" t="s">
        <v>31</v>
      </c>
      <c r="F49" s="78">
        <f>(C3/I3)*100</f>
        <v>83.333333333333343</v>
      </c>
      <c r="G49" s="85">
        <f>(50/74)*100</f>
        <v>67.567567567567565</v>
      </c>
      <c r="H49" s="75">
        <f>I10/I9</f>
        <v>0.79166666666666663</v>
      </c>
      <c r="I49" s="75">
        <f>H31/H30</f>
        <v>0.16666666666666666</v>
      </c>
      <c r="J49" s="79">
        <f>(G33-G34)/(1-G34)</f>
        <v>0.75</v>
      </c>
    </row>
    <row r="50" spans="2:10" ht="18.2" x14ac:dyDescent="0.35">
      <c r="B50" s="49" t="s">
        <v>4</v>
      </c>
      <c r="C50" s="50" t="s">
        <v>32</v>
      </c>
      <c r="F50" s="78">
        <f>(D4/I4)*100</f>
        <v>98.333333333333329</v>
      </c>
      <c r="G50" s="85">
        <f>59/92*100</f>
        <v>64.130434782608688</v>
      </c>
      <c r="H50" s="53"/>
      <c r="I50" s="3"/>
      <c r="J50" s="80"/>
    </row>
    <row r="51" spans="2:10" ht="18.2" x14ac:dyDescent="0.35">
      <c r="B51" s="49" t="s">
        <v>5</v>
      </c>
      <c r="C51" s="50" t="s">
        <v>33</v>
      </c>
      <c r="F51" s="78">
        <f>(E5/I5)*100</f>
        <v>53.333333333333336</v>
      </c>
      <c r="G51" s="85">
        <f>32/E9*100</f>
        <v>91.428571428571431</v>
      </c>
      <c r="H51" s="53"/>
      <c r="I51" s="3"/>
      <c r="J51" s="80"/>
    </row>
    <row r="52" spans="2:10" ht="18.2" x14ac:dyDescent="0.35">
      <c r="B52" s="51" t="s">
        <v>25</v>
      </c>
      <c r="C52" s="52" t="s">
        <v>26</v>
      </c>
      <c r="F52" s="78">
        <f>(F6/I6)*100</f>
        <v>91.666666666666657</v>
      </c>
      <c r="G52" s="85">
        <f>F6/F9*100</f>
        <v>90.163934426229503</v>
      </c>
      <c r="H52" s="53"/>
      <c r="I52" s="3"/>
      <c r="J52" s="80"/>
    </row>
    <row r="53" spans="2:10" ht="18.2" x14ac:dyDescent="0.35">
      <c r="B53" s="53" t="s">
        <v>7</v>
      </c>
      <c r="C53" s="52" t="s">
        <v>28</v>
      </c>
      <c r="F53" s="78">
        <f>(G7/I7)*100</f>
        <v>53.333333333333336</v>
      </c>
      <c r="G53" s="85">
        <f>G7/G9*100</f>
        <v>78.048780487804876</v>
      </c>
      <c r="H53" s="53"/>
      <c r="I53" s="3"/>
      <c r="J53" s="80"/>
    </row>
    <row r="54" spans="2:10" ht="18.8" thickBot="1" x14ac:dyDescent="0.4">
      <c r="F54" s="81">
        <f>(H8/I8)*100</f>
        <v>95</v>
      </c>
      <c r="G54" s="86">
        <f>H8/H9*100</f>
        <v>100</v>
      </c>
      <c r="H54" s="82"/>
      <c r="I54" s="83"/>
      <c r="J54" s="13"/>
    </row>
    <row r="55" spans="2:10" ht="15.65" thickBot="1" x14ac:dyDescent="0.35"/>
    <row r="56" spans="2:10" x14ac:dyDescent="0.3">
      <c r="B56" s="33" t="s">
        <v>8</v>
      </c>
      <c r="C56" s="34"/>
      <c r="D56" s="34"/>
      <c r="E56" s="34"/>
      <c r="F56" s="34"/>
      <c r="G56" s="34"/>
      <c r="H56" s="34"/>
      <c r="I56" s="35"/>
    </row>
    <row r="57" spans="2:10" x14ac:dyDescent="0.3">
      <c r="B57" s="54" t="s">
        <v>0</v>
      </c>
      <c r="C57" s="4" t="s">
        <v>13</v>
      </c>
      <c r="D57" s="4" t="s">
        <v>14</v>
      </c>
      <c r="E57" s="4" t="s">
        <v>15</v>
      </c>
      <c r="F57" s="4" t="s">
        <v>16</v>
      </c>
      <c r="G57" s="4" t="s">
        <v>17</v>
      </c>
      <c r="H57" s="4" t="s">
        <v>18</v>
      </c>
      <c r="I57" s="56" t="s">
        <v>23</v>
      </c>
    </row>
    <row r="58" spans="2:10" ht="15.65" x14ac:dyDescent="0.3">
      <c r="B58" s="54" t="s">
        <v>13</v>
      </c>
      <c r="C58" s="36">
        <v>4440</v>
      </c>
      <c r="D58" s="37">
        <f>92*60</f>
        <v>5520</v>
      </c>
      <c r="E58" s="37">
        <f>35*60</f>
        <v>2100</v>
      </c>
      <c r="F58" s="37">
        <f>61*60</f>
        <v>3660</v>
      </c>
      <c r="G58" s="37">
        <f>41*60</f>
        <v>2460</v>
      </c>
      <c r="H58" s="37">
        <f>57*60</f>
        <v>3420</v>
      </c>
      <c r="I58" s="38">
        <f>SUM(C58:H58)</f>
        <v>21600</v>
      </c>
    </row>
    <row r="59" spans="2:10" ht="15.65" x14ac:dyDescent="0.3">
      <c r="B59" s="54" t="s">
        <v>19</v>
      </c>
      <c r="C59" s="37">
        <f t="shared" ref="C59:C63" si="15">74*60</f>
        <v>4440</v>
      </c>
      <c r="D59" s="36">
        <f t="shared" ref="D59:D63" si="16">92*60</f>
        <v>5520</v>
      </c>
      <c r="E59" s="37">
        <f t="shared" ref="E59:E63" si="17">35*60</f>
        <v>2100</v>
      </c>
      <c r="F59" s="37">
        <f t="shared" ref="F59:F63" si="18">61*60</f>
        <v>3660</v>
      </c>
      <c r="G59" s="37">
        <f t="shared" ref="G59:G63" si="19">41*60</f>
        <v>2460</v>
      </c>
      <c r="H59" s="37">
        <f t="shared" ref="H59:H63" si="20">57*60</f>
        <v>3420</v>
      </c>
      <c r="I59" s="38">
        <f>SUM(C59:H59)</f>
        <v>21600</v>
      </c>
    </row>
    <row r="60" spans="2:10" ht="15.65" x14ac:dyDescent="0.3">
      <c r="B60" s="54" t="s">
        <v>15</v>
      </c>
      <c r="C60" s="37">
        <f t="shared" si="15"/>
        <v>4440</v>
      </c>
      <c r="D60" s="37">
        <f t="shared" si="16"/>
        <v>5520</v>
      </c>
      <c r="E60" s="36">
        <f t="shared" si="17"/>
        <v>2100</v>
      </c>
      <c r="F60" s="37">
        <f t="shared" si="18"/>
        <v>3660</v>
      </c>
      <c r="G60" s="37">
        <f t="shared" si="19"/>
        <v>2460</v>
      </c>
      <c r="H60" s="37">
        <f t="shared" si="20"/>
        <v>3420</v>
      </c>
      <c r="I60" s="38">
        <f>SUM(C60:H60)</f>
        <v>21600</v>
      </c>
    </row>
    <row r="61" spans="2:10" ht="15.65" x14ac:dyDescent="0.3">
      <c r="B61" s="54" t="s">
        <v>16</v>
      </c>
      <c r="C61" s="37">
        <f t="shared" si="15"/>
        <v>4440</v>
      </c>
      <c r="D61" s="37">
        <f t="shared" si="16"/>
        <v>5520</v>
      </c>
      <c r="E61" s="37">
        <f t="shared" si="17"/>
        <v>2100</v>
      </c>
      <c r="F61" s="36">
        <f t="shared" si="18"/>
        <v>3660</v>
      </c>
      <c r="G61" s="37">
        <f t="shared" si="19"/>
        <v>2460</v>
      </c>
      <c r="H61" s="37">
        <f t="shared" si="20"/>
        <v>3420</v>
      </c>
      <c r="I61" s="38">
        <f>SUM(C61:H61)</f>
        <v>21600</v>
      </c>
    </row>
    <row r="62" spans="2:10" ht="15.65" x14ac:dyDescent="0.3">
      <c r="B62" s="54" t="s">
        <v>17</v>
      </c>
      <c r="C62" s="37">
        <f t="shared" si="15"/>
        <v>4440</v>
      </c>
      <c r="D62" s="37">
        <f t="shared" si="16"/>
        <v>5520</v>
      </c>
      <c r="E62" s="37">
        <f t="shared" si="17"/>
        <v>2100</v>
      </c>
      <c r="F62" s="37">
        <f t="shared" si="18"/>
        <v>3660</v>
      </c>
      <c r="G62" s="36">
        <f t="shared" si="19"/>
        <v>2460</v>
      </c>
      <c r="H62" s="37">
        <f t="shared" si="20"/>
        <v>3420</v>
      </c>
      <c r="I62" s="38">
        <f>SUM(C62:H62)</f>
        <v>21600</v>
      </c>
    </row>
    <row r="63" spans="2:10" ht="15.65" x14ac:dyDescent="0.3">
      <c r="B63" s="54" t="s">
        <v>18</v>
      </c>
      <c r="C63" s="37">
        <f t="shared" si="15"/>
        <v>4440</v>
      </c>
      <c r="D63" s="37">
        <f t="shared" si="16"/>
        <v>5520</v>
      </c>
      <c r="E63" s="37">
        <f t="shared" si="17"/>
        <v>2100</v>
      </c>
      <c r="F63" s="37">
        <f t="shared" si="18"/>
        <v>3660</v>
      </c>
      <c r="G63" s="37">
        <f t="shared" si="19"/>
        <v>2460</v>
      </c>
      <c r="H63" s="36">
        <f t="shared" si="20"/>
        <v>3420</v>
      </c>
      <c r="I63" s="38">
        <f>SUM(C63:H63)</f>
        <v>21600</v>
      </c>
    </row>
    <row r="64" spans="2:10" ht="16.3" thickBot="1" x14ac:dyDescent="0.35">
      <c r="B64" s="55" t="s">
        <v>24</v>
      </c>
      <c r="C64" s="39">
        <f>SUM(C58:C63)</f>
        <v>26640</v>
      </c>
      <c r="D64" s="40">
        <f>SUM(D58:D63)</f>
        <v>33120</v>
      </c>
      <c r="E64" s="39">
        <f>SUM(E58:E63)</f>
        <v>12600</v>
      </c>
      <c r="F64" s="39">
        <f>SUM(F58:F63)</f>
        <v>21960</v>
      </c>
      <c r="G64" s="40">
        <f>SUM(G58:G63)</f>
        <v>14760</v>
      </c>
      <c r="H64" s="40">
        <f>SUM(H58:H63)</f>
        <v>20520</v>
      </c>
      <c r="I64" s="41">
        <f>SUM(I58:I63)</f>
        <v>129600</v>
      </c>
    </row>
    <row r="65" spans="2:9" ht="16.3" thickBot="1" x14ac:dyDescent="0.35">
      <c r="B65" s="17" t="s">
        <v>25</v>
      </c>
      <c r="C65" s="42">
        <f>I65/I64</f>
        <v>0.16666666666666666</v>
      </c>
      <c r="D65" s="43"/>
      <c r="E65" s="44" t="s">
        <v>7</v>
      </c>
      <c r="F65" s="45">
        <f>(H67-H68)/(1-H68)</f>
        <v>0</v>
      </c>
      <c r="G65" s="43"/>
      <c r="H65" s="48" t="s">
        <v>20</v>
      </c>
      <c r="I65" s="46">
        <f>C58+D59+E60+F61+G62+H63</f>
        <v>21600</v>
      </c>
    </row>
  </sheetData>
  <mergeCells count="4">
    <mergeCell ref="A22:H22"/>
    <mergeCell ref="C12:D12"/>
    <mergeCell ref="B48:C48"/>
    <mergeCell ref="B56:I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Hemungshew Borgohain</dc:creator>
  <cp:lastModifiedBy>Hemungshew Borgohain</cp:lastModifiedBy>
  <dcterms:created xsi:type="dcterms:W3CDTF">2025-10-11T06:07:03Z</dcterms:created>
  <dcterms:modified xsi:type="dcterms:W3CDTF">2025-10-14T06:58:08Z</dcterms:modified>
</cp:coreProperties>
</file>